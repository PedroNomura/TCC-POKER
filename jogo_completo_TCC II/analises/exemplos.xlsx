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e\TCC-POKER\jogo_inicial_2.0\"/>
    </mc:Choice>
  </mc:AlternateContent>
  <xr:revisionPtr revIDLastSave="0" documentId="13_ncr:1_{1FBE11A5-4243-45D4-A02F-EA09B1405F95}" xr6:coauthVersionLast="47" xr6:coauthVersionMax="47" xr10:uidLastSave="{00000000-0000-0000-0000-000000000000}"/>
  <bookViews>
    <workbookView xWindow="-120" yWindow="-120" windowWidth="29040" windowHeight="15720" xr2:uid="{D285C8C9-3F78-4094-A43B-B0A6EF1A13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7" i="1"/>
  <c r="I8" i="1"/>
  <c r="I9" i="1"/>
</calcChain>
</file>

<file path=xl/sharedStrings.xml><?xml version="1.0" encoding="utf-8"?>
<sst xmlns="http://schemas.openxmlformats.org/spreadsheetml/2006/main" count="62" uniqueCount="48">
  <si>
    <t>Partida</t>
  </si>
  <si>
    <t>Victor</t>
  </si>
  <si>
    <t>João</t>
  </si>
  <si>
    <t>Pedro</t>
  </si>
  <si>
    <t>Vitorias</t>
  </si>
  <si>
    <t>Derrotas</t>
  </si>
  <si>
    <t>Sem</t>
  </si>
  <si>
    <t>Com</t>
  </si>
  <si>
    <t>Contra Victor (Sem Rec.)</t>
  </si>
  <si>
    <t>Contra Victor (Com Rec.)</t>
  </si>
  <si>
    <t>Contra Pedro (Sem Rec.)</t>
  </si>
  <si>
    <t>Contra Pedro (Com Rec.)</t>
  </si>
  <si>
    <t>Contra João (Sem Rec.)</t>
  </si>
  <si>
    <t>Contra João (Com Rec.)</t>
  </si>
  <si>
    <t>Fichas finais do Bot</t>
  </si>
  <si>
    <t>Fichas finais do Autor</t>
  </si>
  <si>
    <t>Rodada</t>
  </si>
  <si>
    <t>Mão do Bot</t>
  </si>
  <si>
    <t>Mão do jogador</t>
  </si>
  <si>
    <t>Mesa</t>
  </si>
  <si>
    <t>Pmc (Monte Carlo)</t>
  </si>
  <si>
    <t>Emoção detectada</t>
  </si>
  <si>
    <t>Valor L(f)</t>
  </si>
  <si>
    <t>D simulado (sem L(f))</t>
  </si>
  <si>
    <t>Decisão simulada</t>
  </si>
  <si>
    <t>D Final (com L(f))</t>
  </si>
  <si>
    <t>Decisão Final</t>
  </si>
  <si>
    <t>Flop</t>
  </si>
  <si>
    <t>happy</t>
  </si>
  <si>
    <t>Call</t>
  </si>
  <si>
    <t>Fold</t>
  </si>
  <si>
    <t>River</t>
  </si>
  <si>
    <t>Turn</t>
  </si>
  <si>
    <t>angry</t>
  </si>
  <si>
    <t>Bet</t>
  </si>
  <si>
    <t>Check</t>
  </si>
  <si>
    <t>JH, 4H, AH, 10H</t>
  </si>
  <si>
    <t>8D, 9S, 5C, 9C, KH</t>
  </si>
  <si>
    <t>9H, QC, 10H</t>
  </si>
  <si>
    <t>KH, 5C, JS</t>
  </si>
  <si>
    <t>QH, JC</t>
  </si>
  <si>
    <t>9S, 2C</t>
  </si>
  <si>
    <t>5H, JS</t>
  </si>
  <si>
    <t>KS, 9C</t>
  </si>
  <si>
    <t>KC, 2D</t>
  </si>
  <si>
    <t>9D, 7S</t>
  </si>
  <si>
    <t>2D, JS</t>
  </si>
  <si>
    <t>4S,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</si>
</sst>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DFF7D"/>
      <color rgb="FFFF4343"/>
      <color rgb="FFFF9999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Planilha1!$B$24</c:f>
              <c:strCache>
                <c:ptCount val="1"/>
                <c:pt idx="0">
                  <c:v>Contra Pedro (Sem Rec.)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Planilha1!$A$25:$A$45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Planilha1!$B$25:$B$45</c:f>
              <c:numCache>
                <c:formatCode>General</c:formatCode>
                <c:ptCount val="21"/>
                <c:pt idx="0">
                  <c:v>5000</c:v>
                </c:pt>
                <c:pt idx="1">
                  <c:v>4800</c:v>
                </c:pt>
                <c:pt idx="2">
                  <c:v>4900</c:v>
                </c:pt>
                <c:pt idx="3">
                  <c:v>4700</c:v>
                </c:pt>
                <c:pt idx="4">
                  <c:v>5100</c:v>
                </c:pt>
                <c:pt idx="5">
                  <c:v>5200</c:v>
                </c:pt>
                <c:pt idx="6">
                  <c:v>5400</c:v>
                </c:pt>
                <c:pt idx="7">
                  <c:v>5300</c:v>
                </c:pt>
                <c:pt idx="8">
                  <c:v>5250</c:v>
                </c:pt>
                <c:pt idx="9">
                  <c:v>5450</c:v>
                </c:pt>
                <c:pt idx="10">
                  <c:v>5750</c:v>
                </c:pt>
                <c:pt idx="11">
                  <c:v>5950</c:v>
                </c:pt>
                <c:pt idx="12">
                  <c:v>6050</c:v>
                </c:pt>
                <c:pt idx="13">
                  <c:v>5350</c:v>
                </c:pt>
                <c:pt idx="14">
                  <c:v>5300</c:v>
                </c:pt>
                <c:pt idx="15">
                  <c:v>5100</c:v>
                </c:pt>
                <c:pt idx="16">
                  <c:v>5050</c:v>
                </c:pt>
                <c:pt idx="17">
                  <c:v>5150</c:v>
                </c:pt>
                <c:pt idx="18">
                  <c:v>4450</c:v>
                </c:pt>
                <c:pt idx="19">
                  <c:v>4650</c:v>
                </c:pt>
                <c:pt idx="20">
                  <c:v>4750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7-45FA-9673-532EA1D9D9DC}"/>
            </c:ext>
          </c:extLst>
        </c:ser>
        <c:ser>
          <c:idx val="1"/>
          <c:order val="1"/>
          <c:tx>
            <c:strRef>
              <c:f>Planilha1!$C$24</c:f>
              <c:strCache>
                <c:ptCount val="1"/>
                <c:pt idx="0">
                  <c:v>Contra Pedro (Com Rec.)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Planilha1!$A$25:$A$45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Planilha1!$C$25:$C$45</c:f>
              <c:numCache>
                <c:formatCode>General</c:formatCode>
                <c:ptCount val="21"/>
                <c:pt idx="0">
                  <c:v>5000</c:v>
                </c:pt>
                <c:pt idx="1">
                  <c:v>5200</c:v>
                </c:pt>
                <c:pt idx="2">
                  <c:v>5150</c:v>
                </c:pt>
                <c:pt idx="3">
                  <c:v>4950</c:v>
                </c:pt>
                <c:pt idx="4">
                  <c:v>5150</c:v>
                </c:pt>
                <c:pt idx="5">
                  <c:v>5350</c:v>
                </c:pt>
                <c:pt idx="6">
                  <c:v>5450</c:v>
                </c:pt>
                <c:pt idx="7">
                  <c:v>5350</c:v>
                </c:pt>
                <c:pt idx="8">
                  <c:v>5300</c:v>
                </c:pt>
                <c:pt idx="9">
                  <c:v>5100</c:v>
                </c:pt>
                <c:pt idx="10">
                  <c:v>5000</c:v>
                </c:pt>
                <c:pt idx="11">
                  <c:v>5250</c:v>
                </c:pt>
                <c:pt idx="12">
                  <c:v>4850</c:v>
                </c:pt>
                <c:pt idx="13">
                  <c:v>5050</c:v>
                </c:pt>
                <c:pt idx="14">
                  <c:v>5000</c:v>
                </c:pt>
                <c:pt idx="15">
                  <c:v>5200</c:v>
                </c:pt>
                <c:pt idx="16">
                  <c:v>5700</c:v>
                </c:pt>
                <c:pt idx="17">
                  <c:v>5500</c:v>
                </c:pt>
                <c:pt idx="18">
                  <c:v>5450</c:v>
                </c:pt>
                <c:pt idx="19">
                  <c:v>5250</c:v>
                </c:pt>
                <c:pt idx="20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B7-45FA-9673-532EA1D9D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5357855"/>
        <c:axId val="1605360735"/>
      </c:lineChart>
      <c:catAx>
        <c:axId val="160535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Partidas (0</a:t>
                </a:r>
                <a:r>
                  <a:rPr lang="pt-BR" baseline="0"/>
                  <a:t> a 20)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360735"/>
        <c:crosses val="autoZero"/>
        <c:auto val="1"/>
        <c:lblAlgn val="ctr"/>
        <c:lblOffset val="100"/>
        <c:noMultiLvlLbl val="0"/>
      </c:catAx>
      <c:valAx>
        <c:axId val="1605360735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Fichas do bot</a:t>
                </a:r>
              </a:p>
              <a:p>
                <a:pPr>
                  <a:defRPr/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35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Contra João (Sem Rec.)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Planilha1!$A$2:$A$22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Planilha1!$B$2:$B$22</c:f>
              <c:numCache>
                <c:formatCode>General</c:formatCode>
                <c:ptCount val="21"/>
                <c:pt idx="0">
                  <c:v>5000</c:v>
                </c:pt>
                <c:pt idx="1">
                  <c:v>5050</c:v>
                </c:pt>
                <c:pt idx="2">
                  <c:v>5000</c:v>
                </c:pt>
                <c:pt idx="3">
                  <c:v>4800</c:v>
                </c:pt>
                <c:pt idx="4">
                  <c:v>4700</c:v>
                </c:pt>
                <c:pt idx="5">
                  <c:v>4200</c:v>
                </c:pt>
                <c:pt idx="6">
                  <c:v>4100</c:v>
                </c:pt>
                <c:pt idx="7">
                  <c:v>4500</c:v>
                </c:pt>
                <c:pt idx="8">
                  <c:v>3900</c:v>
                </c:pt>
                <c:pt idx="9">
                  <c:v>4300</c:v>
                </c:pt>
                <c:pt idx="10">
                  <c:v>4150</c:v>
                </c:pt>
                <c:pt idx="11">
                  <c:v>3800</c:v>
                </c:pt>
                <c:pt idx="12">
                  <c:v>4200</c:v>
                </c:pt>
                <c:pt idx="13">
                  <c:v>4100</c:v>
                </c:pt>
                <c:pt idx="14">
                  <c:v>4000</c:v>
                </c:pt>
                <c:pt idx="15">
                  <c:v>3800</c:v>
                </c:pt>
                <c:pt idx="16">
                  <c:v>4200</c:v>
                </c:pt>
                <c:pt idx="17">
                  <c:v>4900</c:v>
                </c:pt>
                <c:pt idx="18">
                  <c:v>4600</c:v>
                </c:pt>
                <c:pt idx="19">
                  <c:v>5300</c:v>
                </c:pt>
                <c:pt idx="20">
                  <c:v>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0-4F5A-8697-628C5A4DF88F}"/>
            </c:ext>
          </c:extLst>
        </c:ser>
        <c:ser>
          <c:idx val="1"/>
          <c:order val="1"/>
          <c:tx>
            <c:strRef>
              <c:f>Planilha1!$C$1</c:f>
              <c:strCache>
                <c:ptCount val="1"/>
                <c:pt idx="0">
                  <c:v>Contra João (Com Rec.)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Planilha1!$A$2:$A$22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Planilha1!$C$2:$C$22</c:f>
              <c:numCache>
                <c:formatCode>General</c:formatCode>
                <c:ptCount val="21"/>
                <c:pt idx="0">
                  <c:v>5000</c:v>
                </c:pt>
                <c:pt idx="1">
                  <c:v>5500</c:v>
                </c:pt>
                <c:pt idx="2">
                  <c:v>5700</c:v>
                </c:pt>
                <c:pt idx="3">
                  <c:v>5900</c:v>
                </c:pt>
                <c:pt idx="4">
                  <c:v>5400</c:v>
                </c:pt>
                <c:pt idx="5">
                  <c:v>5600</c:v>
                </c:pt>
                <c:pt idx="6">
                  <c:v>5550</c:v>
                </c:pt>
                <c:pt idx="7">
                  <c:v>5450</c:v>
                </c:pt>
                <c:pt idx="8">
                  <c:v>5350</c:v>
                </c:pt>
                <c:pt idx="9">
                  <c:v>5950</c:v>
                </c:pt>
                <c:pt idx="10">
                  <c:v>6000</c:v>
                </c:pt>
                <c:pt idx="11">
                  <c:v>5950</c:v>
                </c:pt>
                <c:pt idx="12">
                  <c:v>5550</c:v>
                </c:pt>
                <c:pt idx="13">
                  <c:v>5950</c:v>
                </c:pt>
                <c:pt idx="14">
                  <c:v>6050</c:v>
                </c:pt>
                <c:pt idx="15">
                  <c:v>5800</c:v>
                </c:pt>
                <c:pt idx="16">
                  <c:v>6000</c:v>
                </c:pt>
                <c:pt idx="17">
                  <c:v>5750</c:v>
                </c:pt>
                <c:pt idx="18">
                  <c:v>5850</c:v>
                </c:pt>
                <c:pt idx="19">
                  <c:v>6050</c:v>
                </c:pt>
                <c:pt idx="20">
                  <c:v>5950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30-4F5A-8697-628C5A4DF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5380895"/>
        <c:axId val="1605379455"/>
      </c:lineChart>
      <c:catAx>
        <c:axId val="160538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Partidas (0 a 20)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379455"/>
        <c:crosses val="autoZero"/>
        <c:auto val="1"/>
        <c:lblAlgn val="ctr"/>
        <c:lblOffset val="100"/>
        <c:noMultiLvlLbl val="0"/>
      </c:catAx>
      <c:valAx>
        <c:axId val="1605379455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Fichas do bot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38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Planilha1!$B$47</c:f>
              <c:strCache>
                <c:ptCount val="1"/>
                <c:pt idx="0">
                  <c:v>Contra Victor (Sem Rec.)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Planilha1!$A$48:$A$68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Planilha1!$B$48:$B$68</c:f>
              <c:numCache>
                <c:formatCode>General</c:formatCode>
                <c:ptCount val="21"/>
                <c:pt idx="0">
                  <c:v>5000</c:v>
                </c:pt>
                <c:pt idx="1">
                  <c:v>4800</c:v>
                </c:pt>
                <c:pt idx="2">
                  <c:v>4500</c:v>
                </c:pt>
                <c:pt idx="3">
                  <c:v>4000</c:v>
                </c:pt>
                <c:pt idx="4">
                  <c:v>4200</c:v>
                </c:pt>
                <c:pt idx="5">
                  <c:v>4000</c:v>
                </c:pt>
                <c:pt idx="6">
                  <c:v>3900</c:v>
                </c:pt>
                <c:pt idx="7">
                  <c:v>4100</c:v>
                </c:pt>
                <c:pt idx="8">
                  <c:v>4500</c:v>
                </c:pt>
                <c:pt idx="9">
                  <c:v>4700</c:v>
                </c:pt>
                <c:pt idx="10">
                  <c:v>4400</c:v>
                </c:pt>
                <c:pt idx="11">
                  <c:v>4000</c:v>
                </c:pt>
                <c:pt idx="12">
                  <c:v>3900</c:v>
                </c:pt>
                <c:pt idx="13">
                  <c:v>4100</c:v>
                </c:pt>
                <c:pt idx="14">
                  <c:v>4200</c:v>
                </c:pt>
                <c:pt idx="15">
                  <c:v>4400</c:v>
                </c:pt>
                <c:pt idx="16">
                  <c:v>4350</c:v>
                </c:pt>
                <c:pt idx="17">
                  <c:v>4150</c:v>
                </c:pt>
                <c:pt idx="18">
                  <c:v>4350</c:v>
                </c:pt>
                <c:pt idx="19">
                  <c:v>3950</c:v>
                </c:pt>
                <c:pt idx="20">
                  <c:v>3450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74-45FB-BDA6-08B8A60EEF13}"/>
            </c:ext>
          </c:extLst>
        </c:ser>
        <c:ser>
          <c:idx val="1"/>
          <c:order val="1"/>
          <c:tx>
            <c:strRef>
              <c:f>Planilha1!$C$47</c:f>
              <c:strCache>
                <c:ptCount val="1"/>
                <c:pt idx="0">
                  <c:v>Contra Victor (Com Rec.)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Planilha1!$A$48:$A$68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Planilha1!$C$48:$C$68</c:f>
              <c:numCache>
                <c:formatCode>General</c:formatCode>
                <c:ptCount val="21"/>
                <c:pt idx="0">
                  <c:v>5000</c:v>
                </c:pt>
                <c:pt idx="1">
                  <c:v>5300</c:v>
                </c:pt>
                <c:pt idx="2">
                  <c:v>5800</c:v>
                </c:pt>
                <c:pt idx="3">
                  <c:v>5700</c:v>
                </c:pt>
                <c:pt idx="4">
                  <c:v>5500</c:v>
                </c:pt>
                <c:pt idx="5">
                  <c:v>5700</c:v>
                </c:pt>
                <c:pt idx="6">
                  <c:v>5400</c:v>
                </c:pt>
                <c:pt idx="7">
                  <c:v>5000</c:v>
                </c:pt>
                <c:pt idx="8">
                  <c:v>4900</c:v>
                </c:pt>
                <c:pt idx="9">
                  <c:v>5100</c:v>
                </c:pt>
                <c:pt idx="10">
                  <c:v>4900</c:v>
                </c:pt>
                <c:pt idx="11">
                  <c:v>5300</c:v>
                </c:pt>
                <c:pt idx="12">
                  <c:v>5400</c:v>
                </c:pt>
                <c:pt idx="13">
                  <c:v>5800</c:v>
                </c:pt>
                <c:pt idx="14">
                  <c:v>5900</c:v>
                </c:pt>
                <c:pt idx="15">
                  <c:v>5950</c:v>
                </c:pt>
                <c:pt idx="16">
                  <c:v>5900</c:v>
                </c:pt>
                <c:pt idx="17">
                  <c:v>5700</c:v>
                </c:pt>
                <c:pt idx="18">
                  <c:v>5800</c:v>
                </c:pt>
                <c:pt idx="19">
                  <c:v>5700</c:v>
                </c:pt>
                <c:pt idx="20">
                  <c:v>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74-45FB-BDA6-08B8A60EE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534639"/>
        <c:axId val="1758543759"/>
      </c:lineChart>
      <c:catAx>
        <c:axId val="175853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Partidas (0 a 20)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8543759"/>
        <c:crosses val="autoZero"/>
        <c:auto val="1"/>
        <c:lblAlgn val="ctr"/>
        <c:lblOffset val="100"/>
        <c:noMultiLvlLbl val="0"/>
      </c:catAx>
      <c:valAx>
        <c:axId val="1758543759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Fichas do bot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8534639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Planilha1!$F$6</c:f>
              <c:strCache>
                <c:ptCount val="1"/>
                <c:pt idx="0">
                  <c:v>Vitorias</c:v>
                </c:pt>
              </c:strCache>
            </c:strRef>
          </c:tx>
          <c:spPr>
            <a:solidFill>
              <a:srgbClr val="7DFF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Planilha1!$E$7:$E$9</c:f>
              <c:strCache>
                <c:ptCount val="3"/>
                <c:pt idx="0">
                  <c:v>João</c:v>
                </c:pt>
                <c:pt idx="1">
                  <c:v>Pedro</c:v>
                </c:pt>
                <c:pt idx="2">
                  <c:v>Victor</c:v>
                </c:pt>
              </c:strCache>
            </c:strRef>
          </c:cat>
          <c:val>
            <c:numRef>
              <c:f>Planilha1!$F$7:$F$9</c:f>
              <c:numCache>
                <c:formatCode>General</c:formatCode>
                <c:ptCount val="3"/>
                <c:pt idx="0">
                  <c:v>9</c:v>
                </c:pt>
                <c:pt idx="1">
                  <c:v>11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5-4914-A96F-101D3F002118}"/>
            </c:ext>
          </c:extLst>
        </c:ser>
        <c:ser>
          <c:idx val="1"/>
          <c:order val="1"/>
          <c:tx>
            <c:strRef>
              <c:f>Planilha1!$G$6</c:f>
              <c:strCache>
                <c:ptCount val="1"/>
                <c:pt idx="0">
                  <c:v>Derrotas</c:v>
                </c:pt>
              </c:strCache>
            </c:strRef>
          </c:tx>
          <c:spPr>
            <a:solidFill>
              <a:srgbClr val="FF434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Planilha1!$E$7:$E$9</c:f>
              <c:strCache>
                <c:ptCount val="3"/>
                <c:pt idx="0">
                  <c:v>João</c:v>
                </c:pt>
                <c:pt idx="1">
                  <c:v>Pedro</c:v>
                </c:pt>
                <c:pt idx="2">
                  <c:v>Victor</c:v>
                </c:pt>
              </c:strCache>
            </c:strRef>
          </c:cat>
          <c:val>
            <c:numRef>
              <c:f>Planilha1!$G$7:$G$9</c:f>
              <c:numCache>
                <c:formatCode>General</c:formatCode>
                <c:ptCount val="3"/>
                <c:pt idx="0">
                  <c:v>11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05-4914-A96F-101D3F002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5380415"/>
        <c:axId val="1605387135"/>
      </c:barChart>
      <c:catAx>
        <c:axId val="1605380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387135"/>
        <c:crosses val="autoZero"/>
        <c:auto val="1"/>
        <c:lblAlgn val="ctr"/>
        <c:lblOffset val="100"/>
        <c:noMultiLvlLbl val="0"/>
      </c:catAx>
      <c:valAx>
        <c:axId val="1605387135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38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Planilha1!$F$1</c:f>
              <c:strCache>
                <c:ptCount val="1"/>
                <c:pt idx="0">
                  <c:v>Vitorias</c:v>
                </c:pt>
              </c:strCache>
            </c:strRef>
          </c:tx>
          <c:spPr>
            <a:solidFill>
              <a:srgbClr val="7DFF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Planilha1!$E$2:$E$4</c:f>
              <c:strCache>
                <c:ptCount val="3"/>
                <c:pt idx="0">
                  <c:v>João</c:v>
                </c:pt>
                <c:pt idx="1">
                  <c:v>Pedro</c:v>
                </c:pt>
                <c:pt idx="2">
                  <c:v>Victor</c:v>
                </c:pt>
              </c:strCache>
            </c:strRef>
          </c:cat>
          <c:val>
            <c:numRef>
              <c:f>Planilha1!$F$2:$F$4</c:f>
              <c:numCache>
                <c:formatCode>General</c:formatCode>
                <c:ptCount val="3"/>
                <c:pt idx="0">
                  <c:v>12</c:v>
                </c:pt>
                <c:pt idx="1">
                  <c:v>9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0-4F3F-9B7D-4CFCAA8EFDDF}"/>
            </c:ext>
          </c:extLst>
        </c:ser>
        <c:ser>
          <c:idx val="1"/>
          <c:order val="1"/>
          <c:tx>
            <c:strRef>
              <c:f>Planilha1!$G$1</c:f>
              <c:strCache>
                <c:ptCount val="1"/>
                <c:pt idx="0">
                  <c:v>Derrotas</c:v>
                </c:pt>
              </c:strCache>
            </c:strRef>
          </c:tx>
          <c:spPr>
            <a:solidFill>
              <a:srgbClr val="FF434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Planilha1!$E$2:$E$4</c:f>
              <c:strCache>
                <c:ptCount val="3"/>
                <c:pt idx="0">
                  <c:v>João</c:v>
                </c:pt>
                <c:pt idx="1">
                  <c:v>Pedro</c:v>
                </c:pt>
                <c:pt idx="2">
                  <c:v>Victor</c:v>
                </c:pt>
              </c:strCache>
            </c:strRef>
          </c:cat>
          <c:val>
            <c:numRef>
              <c:f>Planilha1!$G$2:$G$4</c:f>
              <c:numCache>
                <c:formatCode>General</c:formatCode>
                <c:ptCount val="3"/>
                <c:pt idx="0">
                  <c:v>8</c:v>
                </c:pt>
                <c:pt idx="1">
                  <c:v>11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A0-4F3F-9B7D-4CFCAA8EFDD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5408735"/>
        <c:axId val="1605409215"/>
      </c:barChart>
      <c:catAx>
        <c:axId val="16054087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409215"/>
        <c:crosses val="autoZero"/>
        <c:auto val="1"/>
        <c:lblAlgn val="ctr"/>
        <c:lblOffset val="100"/>
        <c:noMultiLvlLbl val="0"/>
      </c:catAx>
      <c:valAx>
        <c:axId val="1605409215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40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48</xdr:row>
      <xdr:rowOff>157162</xdr:rowOff>
    </xdr:from>
    <xdr:to>
      <xdr:col>13</xdr:col>
      <xdr:colOff>600075</xdr:colOff>
      <xdr:row>63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0A46B7-4CE1-088B-BCF1-8059B3E77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442912</xdr:colOff>
      <xdr:row>32</xdr:row>
      <xdr:rowOff>185736</xdr:rowOff>
    </xdr:from>
    <xdr:to>
      <xdr:col>14</xdr:col>
      <xdr:colOff>142875</xdr:colOff>
      <xdr:row>47</xdr:row>
      <xdr:rowOff>95249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979E33-5056-1B62-8437-02533C16A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290511</xdr:colOff>
      <xdr:row>64</xdr:row>
      <xdr:rowOff>157162</xdr:rowOff>
    </xdr:from>
    <xdr:to>
      <xdr:col>13</xdr:col>
      <xdr:colOff>581025</xdr:colOff>
      <xdr:row>79</xdr:row>
      <xdr:rowOff>42862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4273BAE-43F3-9892-9AE2-76081AEB3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119062</xdr:colOff>
      <xdr:row>16</xdr:row>
      <xdr:rowOff>38100</xdr:rowOff>
    </xdr:from>
    <xdr:to>
      <xdr:col>17</xdr:col>
      <xdr:colOff>423862</xdr:colOff>
      <xdr:row>30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2EC0649-D76A-34E3-CFEA-22EF1451E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161925</xdr:colOff>
      <xdr:row>0</xdr:row>
      <xdr:rowOff>171450</xdr:rowOff>
    </xdr:from>
    <xdr:to>
      <xdr:col>17</xdr:col>
      <xdr:colOff>466725</xdr:colOff>
      <xdr:row>15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9230EC5-1467-3BA0-3901-21231A70A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71D0-AE81-4FE1-A660-CB3AC1955C70}">
  <dimension ref="A1:AD68"/>
  <sheetViews>
    <sheetView tabSelected="1" topLeftCell="J1" workbookViewId="0">
      <selection activeCell="T2" sqref="T2:AD6"/>
    </sheetView>
  </sheetViews>
  <sheetFormatPr defaultColWidth="6.7109375" defaultRowHeight="15" x14ac:dyDescent="0.25"/>
  <cols>
    <col min="1" max="1" width="7.42578125" bestFit="1" customWidth="1"/>
    <col min="2" max="2" width="22.5703125" bestFit="1" customWidth="1"/>
    <col min="3" max="3" width="22.85546875" bestFit="1" customWidth="1"/>
    <col min="5" max="5" width="10.140625" bestFit="1" customWidth="1"/>
    <col min="8" max="8" width="25.5703125" bestFit="1" customWidth="1"/>
    <col min="9" max="9" width="18.5703125" bestFit="1" customWidth="1"/>
    <col min="20" max="30" width="10.7109375" customWidth="1"/>
    <col min="31" max="31" width="16.28515625" bestFit="1" customWidth="1"/>
    <col min="32" max="32" width="13.140625" bestFit="1" customWidth="1"/>
  </cols>
  <sheetData>
    <row r="1" spans="1:30" x14ac:dyDescent="0.25">
      <c r="A1" t="s">
        <v>0</v>
      </c>
      <c r="B1" t="s">
        <v>12</v>
      </c>
      <c r="C1" t="s">
        <v>13</v>
      </c>
      <c r="E1" t="s">
        <v>6</v>
      </c>
      <c r="F1" t="s">
        <v>4</v>
      </c>
      <c r="G1" t="s">
        <v>5</v>
      </c>
      <c r="H1" t="s">
        <v>15</v>
      </c>
      <c r="I1" t="s">
        <v>14</v>
      </c>
    </row>
    <row r="2" spans="1:30" ht="45" x14ac:dyDescent="0.25">
      <c r="A2">
        <v>0</v>
      </c>
      <c r="B2">
        <v>5000</v>
      </c>
      <c r="C2">
        <v>5000</v>
      </c>
      <c r="E2" t="s">
        <v>2</v>
      </c>
      <c r="F2">
        <v>12</v>
      </c>
      <c r="G2">
        <v>8</v>
      </c>
      <c r="H2">
        <v>4500</v>
      </c>
      <c r="I2">
        <f t="shared" ref="I2:I8" si="0">10000-H2</f>
        <v>5500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</row>
    <row r="3" spans="1:30" x14ac:dyDescent="0.25">
      <c r="A3">
        <v>1</v>
      </c>
      <c r="B3">
        <v>5050</v>
      </c>
      <c r="C3">
        <v>5500</v>
      </c>
      <c r="E3" t="s">
        <v>3</v>
      </c>
      <c r="F3">
        <v>9</v>
      </c>
      <c r="G3">
        <v>11</v>
      </c>
      <c r="H3">
        <v>5250</v>
      </c>
      <c r="I3">
        <f t="shared" si="0"/>
        <v>4750</v>
      </c>
      <c r="T3" s="1" t="s">
        <v>27</v>
      </c>
      <c r="U3" s="1" t="s">
        <v>47</v>
      </c>
      <c r="V3" s="1" t="s">
        <v>40</v>
      </c>
      <c r="W3" s="1" t="s">
        <v>39</v>
      </c>
      <c r="X3" s="1">
        <v>53.2</v>
      </c>
      <c r="Y3" s="1" t="s">
        <v>28</v>
      </c>
      <c r="Z3" s="1">
        <v>-30</v>
      </c>
      <c r="AA3" s="1">
        <v>63.2</v>
      </c>
      <c r="AB3" s="1" t="s">
        <v>29</v>
      </c>
      <c r="AC3" s="1">
        <v>33.200000000000003</v>
      </c>
      <c r="AD3" s="1" t="s">
        <v>30</v>
      </c>
    </row>
    <row r="4" spans="1:30" ht="30" x14ac:dyDescent="0.25">
      <c r="A4">
        <v>2</v>
      </c>
      <c r="B4">
        <v>5000</v>
      </c>
      <c r="C4">
        <v>5700</v>
      </c>
      <c r="E4" t="s">
        <v>1</v>
      </c>
      <c r="F4">
        <v>12</v>
      </c>
      <c r="G4">
        <v>8</v>
      </c>
      <c r="H4">
        <v>6550</v>
      </c>
      <c r="I4">
        <f t="shared" si="0"/>
        <v>3450</v>
      </c>
      <c r="T4" s="2" t="s">
        <v>27</v>
      </c>
      <c r="U4" s="2" t="s">
        <v>46</v>
      </c>
      <c r="V4" s="2" t="s">
        <v>41</v>
      </c>
      <c r="W4" s="2" t="s">
        <v>38</v>
      </c>
      <c r="X4" s="2">
        <v>50.16</v>
      </c>
      <c r="Y4" s="2" t="s">
        <v>28</v>
      </c>
      <c r="Z4" s="2">
        <v>-30</v>
      </c>
      <c r="AA4" s="2">
        <v>60.16</v>
      </c>
      <c r="AB4" s="2" t="s">
        <v>29</v>
      </c>
      <c r="AC4" s="2">
        <v>30.16</v>
      </c>
      <c r="AD4" s="2" t="s">
        <v>30</v>
      </c>
    </row>
    <row r="5" spans="1:30" ht="30" x14ac:dyDescent="0.25">
      <c r="A5">
        <v>3</v>
      </c>
      <c r="B5">
        <v>4800</v>
      </c>
      <c r="C5">
        <v>5900</v>
      </c>
      <c r="T5" s="1" t="s">
        <v>31</v>
      </c>
      <c r="U5" s="1" t="s">
        <v>45</v>
      </c>
      <c r="V5" s="1" t="s">
        <v>42</v>
      </c>
      <c r="W5" s="1" t="s">
        <v>37</v>
      </c>
      <c r="X5" s="1">
        <v>95.49</v>
      </c>
      <c r="Y5" s="1" t="s">
        <v>28</v>
      </c>
      <c r="Z5" s="1">
        <v>-30</v>
      </c>
      <c r="AA5" s="1">
        <v>105.49</v>
      </c>
      <c r="AB5" s="1" t="s">
        <v>29</v>
      </c>
      <c r="AC5" s="1">
        <v>75.489999999999995</v>
      </c>
      <c r="AD5" s="1" t="s">
        <v>29</v>
      </c>
    </row>
    <row r="6" spans="1:30" ht="30" x14ac:dyDescent="0.25">
      <c r="A6">
        <v>4</v>
      </c>
      <c r="B6">
        <v>4700</v>
      </c>
      <c r="C6">
        <v>5400</v>
      </c>
      <c r="E6" t="s">
        <v>7</v>
      </c>
      <c r="F6" t="s">
        <v>4</v>
      </c>
      <c r="G6" t="s">
        <v>5</v>
      </c>
      <c r="T6" s="2" t="s">
        <v>32</v>
      </c>
      <c r="U6" s="2" t="s">
        <v>44</v>
      </c>
      <c r="V6" s="2" t="s">
        <v>43</v>
      </c>
      <c r="W6" s="2" t="s">
        <v>36</v>
      </c>
      <c r="X6" s="2">
        <v>34.299999999999997</v>
      </c>
      <c r="Y6" s="2" t="s">
        <v>33</v>
      </c>
      <c r="Z6" s="2">
        <v>45</v>
      </c>
      <c r="AA6" s="2">
        <v>34.299999999999997</v>
      </c>
      <c r="AB6" s="2" t="s">
        <v>35</v>
      </c>
      <c r="AC6" s="2">
        <v>79.3</v>
      </c>
      <c r="AD6" s="2" t="s">
        <v>34</v>
      </c>
    </row>
    <row r="7" spans="1:30" x14ac:dyDescent="0.25">
      <c r="A7">
        <v>5</v>
      </c>
      <c r="B7">
        <v>4200</v>
      </c>
      <c r="C7">
        <v>5600</v>
      </c>
      <c r="E7" t="s">
        <v>2</v>
      </c>
      <c r="F7">
        <v>9</v>
      </c>
      <c r="G7">
        <v>11</v>
      </c>
      <c r="H7">
        <v>4050</v>
      </c>
      <c r="I7">
        <f t="shared" si="0"/>
        <v>5950</v>
      </c>
    </row>
    <row r="8" spans="1:30" x14ac:dyDescent="0.25">
      <c r="A8">
        <v>6</v>
      </c>
      <c r="B8">
        <v>4100</v>
      </c>
      <c r="C8">
        <v>5550</v>
      </c>
      <c r="E8" t="s">
        <v>3</v>
      </c>
      <c r="F8">
        <v>11</v>
      </c>
      <c r="G8">
        <v>9</v>
      </c>
      <c r="H8">
        <v>4550</v>
      </c>
      <c r="I8">
        <f t="shared" si="0"/>
        <v>5450</v>
      </c>
    </row>
    <row r="9" spans="1:30" x14ac:dyDescent="0.25">
      <c r="A9">
        <v>7</v>
      </c>
      <c r="B9">
        <v>4500</v>
      </c>
      <c r="C9">
        <v>5450</v>
      </c>
      <c r="E9" t="s">
        <v>1</v>
      </c>
      <c r="F9">
        <v>10</v>
      </c>
      <c r="G9">
        <v>10</v>
      </c>
      <c r="H9">
        <v>4500</v>
      </c>
      <c r="I9">
        <f>10000-H9</f>
        <v>5500</v>
      </c>
    </row>
    <row r="10" spans="1:30" x14ac:dyDescent="0.25">
      <c r="A10">
        <v>8</v>
      </c>
      <c r="B10">
        <v>3900</v>
      </c>
      <c r="C10">
        <v>5350</v>
      </c>
    </row>
    <row r="11" spans="1:30" x14ac:dyDescent="0.25">
      <c r="A11">
        <v>9</v>
      </c>
      <c r="B11">
        <v>4300</v>
      </c>
      <c r="C11">
        <v>5950</v>
      </c>
    </row>
    <row r="12" spans="1:30" x14ac:dyDescent="0.25">
      <c r="A12">
        <v>10</v>
      </c>
      <c r="B12">
        <v>4150</v>
      </c>
      <c r="C12">
        <v>6000</v>
      </c>
    </row>
    <row r="13" spans="1:30" x14ac:dyDescent="0.25">
      <c r="A13">
        <v>11</v>
      </c>
      <c r="B13">
        <v>3800</v>
      </c>
      <c r="C13">
        <v>5950</v>
      </c>
    </row>
    <row r="14" spans="1:30" x14ac:dyDescent="0.25">
      <c r="A14">
        <v>12</v>
      </c>
      <c r="B14">
        <v>4200</v>
      </c>
      <c r="C14">
        <v>5550</v>
      </c>
    </row>
    <row r="15" spans="1:30" x14ac:dyDescent="0.25">
      <c r="A15">
        <v>13</v>
      </c>
      <c r="B15">
        <v>4100</v>
      </c>
      <c r="C15">
        <v>5950</v>
      </c>
    </row>
    <row r="16" spans="1:30" x14ac:dyDescent="0.25">
      <c r="A16">
        <v>14</v>
      </c>
      <c r="B16">
        <v>4000</v>
      </c>
      <c r="C16">
        <v>6050</v>
      </c>
    </row>
    <row r="17" spans="1:3" x14ac:dyDescent="0.25">
      <c r="A17">
        <v>15</v>
      </c>
      <c r="B17">
        <v>3800</v>
      </c>
      <c r="C17">
        <v>5800</v>
      </c>
    </row>
    <row r="18" spans="1:3" x14ac:dyDescent="0.25">
      <c r="A18">
        <v>16</v>
      </c>
      <c r="B18">
        <v>4200</v>
      </c>
      <c r="C18">
        <v>6000</v>
      </c>
    </row>
    <row r="19" spans="1:3" x14ac:dyDescent="0.25">
      <c r="A19">
        <v>17</v>
      </c>
      <c r="B19">
        <v>4900</v>
      </c>
      <c r="C19">
        <v>5750</v>
      </c>
    </row>
    <row r="20" spans="1:3" x14ac:dyDescent="0.25">
      <c r="A20">
        <v>18</v>
      </c>
      <c r="B20">
        <v>4600</v>
      </c>
      <c r="C20">
        <v>5850</v>
      </c>
    </row>
    <row r="21" spans="1:3" x14ac:dyDescent="0.25">
      <c r="A21">
        <v>19</v>
      </c>
      <c r="B21">
        <v>5300</v>
      </c>
      <c r="C21">
        <v>6050</v>
      </c>
    </row>
    <row r="22" spans="1:3" x14ac:dyDescent="0.25">
      <c r="A22">
        <v>20</v>
      </c>
      <c r="B22">
        <v>5500</v>
      </c>
      <c r="C22">
        <v>5950</v>
      </c>
    </row>
    <row r="24" spans="1:3" x14ac:dyDescent="0.25">
      <c r="A24" t="s">
        <v>0</v>
      </c>
      <c r="B24" t="s">
        <v>10</v>
      </c>
      <c r="C24" t="s">
        <v>11</v>
      </c>
    </row>
    <row r="25" spans="1:3" x14ac:dyDescent="0.25">
      <c r="A25">
        <v>0</v>
      </c>
      <c r="B25">
        <v>5000</v>
      </c>
      <c r="C25">
        <v>5000</v>
      </c>
    </row>
    <row r="26" spans="1:3" x14ac:dyDescent="0.25">
      <c r="A26">
        <v>1</v>
      </c>
      <c r="B26">
        <v>4800</v>
      </c>
      <c r="C26">
        <v>5200</v>
      </c>
    </row>
    <row r="27" spans="1:3" x14ac:dyDescent="0.25">
      <c r="A27">
        <v>2</v>
      </c>
      <c r="B27">
        <v>4900</v>
      </c>
      <c r="C27">
        <v>5150</v>
      </c>
    </row>
    <row r="28" spans="1:3" x14ac:dyDescent="0.25">
      <c r="A28">
        <v>3</v>
      </c>
      <c r="B28">
        <v>4700</v>
      </c>
      <c r="C28">
        <v>4950</v>
      </c>
    </row>
    <row r="29" spans="1:3" x14ac:dyDescent="0.25">
      <c r="A29">
        <v>4</v>
      </c>
      <c r="B29">
        <v>5100</v>
      </c>
      <c r="C29">
        <v>5150</v>
      </c>
    </row>
    <row r="30" spans="1:3" x14ac:dyDescent="0.25">
      <c r="A30">
        <v>5</v>
      </c>
      <c r="B30">
        <v>5200</v>
      </c>
      <c r="C30">
        <v>5350</v>
      </c>
    </row>
    <row r="31" spans="1:3" x14ac:dyDescent="0.25">
      <c r="A31">
        <v>6</v>
      </c>
      <c r="B31">
        <v>5400</v>
      </c>
      <c r="C31">
        <v>5450</v>
      </c>
    </row>
    <row r="32" spans="1:3" x14ac:dyDescent="0.25">
      <c r="A32">
        <v>7</v>
      </c>
      <c r="B32">
        <v>5300</v>
      </c>
      <c r="C32">
        <v>5350</v>
      </c>
    </row>
    <row r="33" spans="1:3" x14ac:dyDescent="0.25">
      <c r="A33">
        <v>8</v>
      </c>
      <c r="B33">
        <v>5250</v>
      </c>
      <c r="C33">
        <v>5300</v>
      </c>
    </row>
    <row r="34" spans="1:3" x14ac:dyDescent="0.25">
      <c r="A34">
        <v>9</v>
      </c>
      <c r="B34">
        <v>5450</v>
      </c>
      <c r="C34">
        <v>5100</v>
      </c>
    </row>
    <row r="35" spans="1:3" x14ac:dyDescent="0.25">
      <c r="A35">
        <v>10</v>
      </c>
      <c r="B35">
        <v>5750</v>
      </c>
      <c r="C35">
        <v>5000</v>
      </c>
    </row>
    <row r="36" spans="1:3" x14ac:dyDescent="0.25">
      <c r="A36">
        <v>11</v>
      </c>
      <c r="B36">
        <v>5950</v>
      </c>
      <c r="C36">
        <v>5250</v>
      </c>
    </row>
    <row r="37" spans="1:3" x14ac:dyDescent="0.25">
      <c r="A37">
        <v>12</v>
      </c>
      <c r="B37">
        <v>6050</v>
      </c>
      <c r="C37">
        <v>4850</v>
      </c>
    </row>
    <row r="38" spans="1:3" x14ac:dyDescent="0.25">
      <c r="A38">
        <v>13</v>
      </c>
      <c r="B38">
        <v>5350</v>
      </c>
      <c r="C38">
        <v>5050</v>
      </c>
    </row>
    <row r="39" spans="1:3" x14ac:dyDescent="0.25">
      <c r="A39">
        <v>14</v>
      </c>
      <c r="B39">
        <v>5300</v>
      </c>
      <c r="C39">
        <v>5000</v>
      </c>
    </row>
    <row r="40" spans="1:3" x14ac:dyDescent="0.25">
      <c r="A40">
        <v>15</v>
      </c>
      <c r="B40">
        <v>5100</v>
      </c>
      <c r="C40">
        <v>5200</v>
      </c>
    </row>
    <row r="41" spans="1:3" x14ac:dyDescent="0.25">
      <c r="A41">
        <v>16</v>
      </c>
      <c r="B41">
        <v>5050</v>
      </c>
      <c r="C41">
        <v>5700</v>
      </c>
    </row>
    <row r="42" spans="1:3" x14ac:dyDescent="0.25">
      <c r="A42">
        <v>17</v>
      </c>
      <c r="B42">
        <v>5150</v>
      </c>
      <c r="C42">
        <v>5500</v>
      </c>
    </row>
    <row r="43" spans="1:3" x14ac:dyDescent="0.25">
      <c r="A43">
        <v>18</v>
      </c>
      <c r="B43">
        <v>4450</v>
      </c>
      <c r="C43">
        <v>5450</v>
      </c>
    </row>
    <row r="44" spans="1:3" x14ac:dyDescent="0.25">
      <c r="A44">
        <v>19</v>
      </c>
      <c r="B44">
        <v>4650</v>
      </c>
      <c r="C44">
        <v>5250</v>
      </c>
    </row>
    <row r="45" spans="1:3" x14ac:dyDescent="0.25">
      <c r="A45">
        <v>20</v>
      </c>
      <c r="B45">
        <v>4750</v>
      </c>
      <c r="C45">
        <v>5450</v>
      </c>
    </row>
    <row r="47" spans="1:3" x14ac:dyDescent="0.25">
      <c r="A47" t="s">
        <v>0</v>
      </c>
      <c r="B47" t="s">
        <v>8</v>
      </c>
      <c r="C47" t="s">
        <v>9</v>
      </c>
    </row>
    <row r="48" spans="1:3" x14ac:dyDescent="0.25">
      <c r="A48">
        <v>0</v>
      </c>
      <c r="B48">
        <v>5000</v>
      </c>
      <c r="C48">
        <v>5000</v>
      </c>
    </row>
    <row r="49" spans="1:3" x14ac:dyDescent="0.25">
      <c r="A49">
        <v>1</v>
      </c>
      <c r="B49">
        <v>4800</v>
      </c>
      <c r="C49">
        <v>5300</v>
      </c>
    </row>
    <row r="50" spans="1:3" x14ac:dyDescent="0.25">
      <c r="A50">
        <v>2</v>
      </c>
      <c r="B50">
        <v>4500</v>
      </c>
      <c r="C50">
        <v>5800</v>
      </c>
    </row>
    <row r="51" spans="1:3" x14ac:dyDescent="0.25">
      <c r="A51">
        <v>3</v>
      </c>
      <c r="B51">
        <v>4000</v>
      </c>
      <c r="C51">
        <v>5700</v>
      </c>
    </row>
    <row r="52" spans="1:3" x14ac:dyDescent="0.25">
      <c r="A52">
        <v>4</v>
      </c>
      <c r="B52">
        <v>4200</v>
      </c>
      <c r="C52">
        <v>5500</v>
      </c>
    </row>
    <row r="53" spans="1:3" x14ac:dyDescent="0.25">
      <c r="A53">
        <v>5</v>
      </c>
      <c r="B53">
        <v>4000</v>
      </c>
      <c r="C53">
        <v>5700</v>
      </c>
    </row>
    <row r="54" spans="1:3" x14ac:dyDescent="0.25">
      <c r="A54">
        <v>6</v>
      </c>
      <c r="B54">
        <v>3900</v>
      </c>
      <c r="C54">
        <v>5400</v>
      </c>
    </row>
    <row r="55" spans="1:3" x14ac:dyDescent="0.25">
      <c r="A55">
        <v>7</v>
      </c>
      <c r="B55">
        <v>4100</v>
      </c>
      <c r="C55">
        <v>5000</v>
      </c>
    </row>
    <row r="56" spans="1:3" x14ac:dyDescent="0.25">
      <c r="A56">
        <v>8</v>
      </c>
      <c r="B56">
        <v>4500</v>
      </c>
      <c r="C56">
        <v>4900</v>
      </c>
    </row>
    <row r="57" spans="1:3" x14ac:dyDescent="0.25">
      <c r="A57">
        <v>9</v>
      </c>
      <c r="B57">
        <v>4700</v>
      </c>
      <c r="C57">
        <v>5100</v>
      </c>
    </row>
    <row r="58" spans="1:3" x14ac:dyDescent="0.25">
      <c r="A58">
        <v>10</v>
      </c>
      <c r="B58">
        <v>4400</v>
      </c>
      <c r="C58">
        <v>4900</v>
      </c>
    </row>
    <row r="59" spans="1:3" x14ac:dyDescent="0.25">
      <c r="A59">
        <v>11</v>
      </c>
      <c r="B59">
        <v>4000</v>
      </c>
      <c r="C59">
        <v>5300</v>
      </c>
    </row>
    <row r="60" spans="1:3" x14ac:dyDescent="0.25">
      <c r="A60">
        <v>12</v>
      </c>
      <c r="B60">
        <v>3900</v>
      </c>
      <c r="C60">
        <v>5400</v>
      </c>
    </row>
    <row r="61" spans="1:3" x14ac:dyDescent="0.25">
      <c r="A61">
        <v>13</v>
      </c>
      <c r="B61">
        <v>4100</v>
      </c>
      <c r="C61">
        <v>5800</v>
      </c>
    </row>
    <row r="62" spans="1:3" x14ac:dyDescent="0.25">
      <c r="A62">
        <v>14</v>
      </c>
      <c r="B62">
        <v>4200</v>
      </c>
      <c r="C62">
        <v>5900</v>
      </c>
    </row>
    <row r="63" spans="1:3" x14ac:dyDescent="0.25">
      <c r="A63">
        <v>15</v>
      </c>
      <c r="B63">
        <v>4400</v>
      </c>
      <c r="C63">
        <v>5950</v>
      </c>
    </row>
    <row r="64" spans="1:3" x14ac:dyDescent="0.25">
      <c r="A64">
        <v>16</v>
      </c>
      <c r="B64">
        <v>4350</v>
      </c>
      <c r="C64">
        <v>5900</v>
      </c>
    </row>
    <row r="65" spans="1:3" x14ac:dyDescent="0.25">
      <c r="A65">
        <v>17</v>
      </c>
      <c r="B65">
        <v>4150</v>
      </c>
      <c r="C65">
        <v>5700</v>
      </c>
    </row>
    <row r="66" spans="1:3" x14ac:dyDescent="0.25">
      <c r="A66">
        <v>18</v>
      </c>
      <c r="B66">
        <v>4350</v>
      </c>
      <c r="C66">
        <v>5800</v>
      </c>
    </row>
    <row r="67" spans="1:3" x14ac:dyDescent="0.25">
      <c r="A67">
        <v>19</v>
      </c>
      <c r="B67">
        <v>3950</v>
      </c>
      <c r="C67">
        <v>5700</v>
      </c>
    </row>
    <row r="68" spans="1:3" x14ac:dyDescent="0.25">
      <c r="A68">
        <v>20</v>
      </c>
      <c r="B68">
        <v>3450</v>
      </c>
      <c r="C68">
        <v>5500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VAGLIERI DE OLIVEIRA</dc:creator>
  <cp:lastModifiedBy>VICTOR VAGLIERI DE OLIVEIRA</cp:lastModifiedBy>
  <dcterms:created xsi:type="dcterms:W3CDTF">2025-11-05T15:09:25Z</dcterms:created>
  <dcterms:modified xsi:type="dcterms:W3CDTF">2025-11-05T22:36:53Z</dcterms:modified>
</cp:coreProperties>
</file>